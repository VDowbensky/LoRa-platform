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F_projects\"/>
    </mc:Choice>
  </mc:AlternateContent>
  <xr:revisionPtr revIDLastSave="0" documentId="13_ncr:1_{0AF7FD21-80CC-4D7A-8CE9-8C28B7518F25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RF_cheet_sheet" sheetId="1" r:id="rId1"/>
  </sheets>
  <definedNames>
    <definedName name="GHH">RF_cheet_sheet!$GHH$1</definedName>
    <definedName name="ZHH1">RF_cheet_sheet!$GHH$1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5" i="1" l="1"/>
  <c r="M35" i="1" s="1"/>
  <c r="I15" i="1"/>
  <c r="M32" i="1"/>
  <c r="M34" i="1"/>
  <c r="L34" i="1"/>
  <c r="L32" i="1"/>
  <c r="L31" i="1"/>
  <c r="AC44" i="1"/>
  <c r="AC45" i="1"/>
  <c r="AC48" i="1"/>
  <c r="AC50" i="1"/>
  <c r="AC56" i="1"/>
  <c r="AC58" i="1"/>
  <c r="AC62" i="1"/>
  <c r="AC63" i="1"/>
  <c r="AC66" i="1"/>
  <c r="AC67" i="1"/>
  <c r="AC70" i="1"/>
  <c r="AC71" i="1"/>
  <c r="AC75" i="1"/>
  <c r="AC76" i="1"/>
  <c r="AC81" i="1"/>
  <c r="AC41" i="1"/>
  <c r="I40" i="1"/>
  <c r="D11" i="1"/>
  <c r="J11" i="1" s="1"/>
  <c r="F15" i="1"/>
  <c r="F29" i="1" s="1"/>
  <c r="F18" i="1"/>
  <c r="F17" i="1"/>
  <c r="D10" i="1"/>
  <c r="J10" i="1" s="1"/>
  <c r="J8" i="1"/>
  <c r="J7" i="1" s="1"/>
  <c r="K7" i="1" l="1"/>
  <c r="J13" i="1"/>
  <c r="F30" i="1" s="1"/>
  <c r="F31" i="1" l="1"/>
  <c r="F33" i="1" s="1"/>
  <c r="F24" i="1"/>
  <c r="F25" i="1"/>
  <c r="F27" i="1" s="1"/>
  <c r="M30" i="1" l="1"/>
  <c r="F32" i="1"/>
  <c r="F26" i="1"/>
  <c r="L30" i="1" l="1"/>
  <c r="L33" i="1"/>
  <c r="F35" i="1" l="1"/>
  <c r="E45" i="1" s="1"/>
  <c r="J44" i="1" s="1"/>
</calcChain>
</file>

<file path=xl/sharedStrings.xml><?xml version="1.0" encoding="utf-8"?>
<sst xmlns="http://schemas.openxmlformats.org/spreadsheetml/2006/main" count="177" uniqueCount="92">
  <si>
    <t>data rate</t>
  </si>
  <si>
    <t>deviation</t>
  </si>
  <si>
    <t>frequency</t>
  </si>
  <si>
    <t>modulation</t>
  </si>
  <si>
    <t>XTO ppm rate</t>
  </si>
  <si>
    <t>ppm</t>
  </si>
  <si>
    <t>MHz</t>
  </si>
  <si>
    <t>Hz</t>
  </si>
  <si>
    <t>frequency offset</t>
  </si>
  <si>
    <t>RX ppm rate</t>
  </si>
  <si>
    <t>TX ppm rate</t>
  </si>
  <si>
    <t>frequency offset RX</t>
  </si>
  <si>
    <t>frequency offset TX</t>
  </si>
  <si>
    <t>ASK</t>
  </si>
  <si>
    <t>kBit/s</t>
  </si>
  <si>
    <t>kHz</t>
  </si>
  <si>
    <t>BW</t>
  </si>
  <si>
    <t>Bit/s</t>
  </si>
  <si>
    <t>FSK</t>
  </si>
  <si>
    <t>f_max_tol</t>
  </si>
  <si>
    <t>freq</t>
  </si>
  <si>
    <t>xto_ppm</t>
  </si>
  <si>
    <t>xto_rx_ppm</t>
  </si>
  <si>
    <t>xto_tx_ppm</t>
  </si>
  <si>
    <t>mod</t>
  </si>
  <si>
    <t>d_rate</t>
  </si>
  <si>
    <t>dev</t>
  </si>
  <si>
    <t>BW1.5dB</t>
  </si>
  <si>
    <t>BW_IF</t>
  </si>
  <si>
    <t>tx_power</t>
  </si>
  <si>
    <t>tx_pow</t>
  </si>
  <si>
    <t>dBm</t>
  </si>
  <si>
    <t>mW</t>
  </si>
  <si>
    <t>output power transmitter</t>
  </si>
  <si>
    <t>sensitivity level receiver</t>
  </si>
  <si>
    <r>
      <t>P</t>
    </r>
    <r>
      <rPr>
        <sz val="8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</t>
    </r>
  </si>
  <si>
    <r>
      <t>P</t>
    </r>
    <r>
      <rPr>
        <sz val="8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=</t>
    </r>
  </si>
  <si>
    <t>Link Budget and distance calculation</t>
  </si>
  <si>
    <r>
      <t>G</t>
    </r>
    <r>
      <rPr>
        <sz val="8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</t>
    </r>
  </si>
  <si>
    <r>
      <t>G</t>
    </r>
    <r>
      <rPr>
        <sz val="8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=</t>
    </r>
  </si>
  <si>
    <r>
      <t>L</t>
    </r>
    <r>
      <rPr>
        <sz val="8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</t>
    </r>
  </si>
  <si>
    <r>
      <t>L</t>
    </r>
    <r>
      <rPr>
        <sz val="8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=</t>
    </r>
  </si>
  <si>
    <r>
      <t>L</t>
    </r>
    <r>
      <rPr>
        <sz val="8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=</t>
    </r>
  </si>
  <si>
    <r>
      <t>L</t>
    </r>
    <r>
      <rPr>
        <sz val="8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=</t>
    </r>
  </si>
  <si>
    <t>antenna gain receiver</t>
  </si>
  <si>
    <t>antenna gain transmitter</t>
  </si>
  <si>
    <t>calculated path loss</t>
  </si>
  <si>
    <t>dB</t>
  </si>
  <si>
    <r>
      <t xml:space="preserve">r = </t>
    </r>
    <r>
      <rPr>
        <sz val="11"/>
        <color theme="1"/>
        <rFont val="Calibri"/>
        <family val="2"/>
      </rPr>
      <t>λ</t>
    </r>
    <r>
      <rPr>
        <sz val="11"/>
        <color theme="1"/>
        <rFont val="Calibri"/>
        <family val="2"/>
        <scheme val="minor"/>
      </rPr>
      <t>/4*</t>
    </r>
    <r>
      <rPr>
        <sz val="11"/>
        <color theme="1"/>
        <rFont val="Calibri"/>
        <family val="2"/>
      </rPr>
      <t>π*</t>
    </r>
    <r>
      <rPr>
        <sz val="11"/>
        <color theme="1"/>
        <rFont val="Calibri"/>
        <family val="2"/>
        <scheme val="minor"/>
      </rPr>
      <t>10^((LP+LM)/20)</t>
    </r>
  </si>
  <si>
    <r>
      <rPr>
        <sz val="11"/>
        <color theme="1"/>
        <rFont val="Calibri"/>
        <family val="2"/>
      </rPr>
      <t>λ</t>
    </r>
    <r>
      <rPr>
        <sz val="11"/>
        <color theme="1"/>
        <rFont val="Calibri"/>
        <family val="2"/>
        <scheme val="minor"/>
      </rPr>
      <t>=</t>
    </r>
  </si>
  <si>
    <t>c=</t>
  </si>
  <si>
    <t>m/s</t>
  </si>
  <si>
    <t>m</t>
  </si>
  <si>
    <t>BW_min</t>
  </si>
  <si>
    <t>BW_rec</t>
  </si>
  <si>
    <t>AVDIC</t>
  </si>
  <si>
    <t>DR</t>
  </si>
  <si>
    <t>DEV</t>
  </si>
  <si>
    <t>MOD</t>
  </si>
  <si>
    <t>ATA5830</t>
  </si>
  <si>
    <t>ATA5831</t>
  </si>
  <si>
    <t>REF</t>
  </si>
  <si>
    <t>DR_DEV_ratio</t>
  </si>
  <si>
    <t>DR_correction</t>
  </si>
  <si>
    <t>DR_DEV_BW_ratio</t>
  </si>
  <si>
    <t>FREQ_correction</t>
  </si>
  <si>
    <t>sensitivity calculation</t>
  </si>
  <si>
    <t>Index</t>
  </si>
  <si>
    <t>Sensitivity values from DS</t>
  </si>
  <si>
    <t>product</t>
  </si>
  <si>
    <t>ATAxxxx</t>
  </si>
  <si>
    <r>
      <rPr>
        <sz val="11"/>
        <color theme="0" tint="-0.249977111117893"/>
        <rFont val="Symbol"/>
        <family val="1"/>
        <charset val="2"/>
      </rPr>
      <t>D</t>
    </r>
    <r>
      <rPr>
        <sz val="11"/>
        <color theme="0" tint="-0.249977111117893"/>
        <rFont val="Calibri"/>
        <family val="2"/>
      </rPr>
      <t>fASK</t>
    </r>
  </si>
  <si>
    <t>Product</t>
  </si>
  <si>
    <t>min/max</t>
  </si>
  <si>
    <t>Parameter setup for application</t>
  </si>
  <si>
    <t>calculated receiver sensitivity (+/-3dB accuracy)</t>
  </si>
  <si>
    <t>frequency range</t>
  </si>
  <si>
    <t>max different between receiver and transmitter</t>
  </si>
  <si>
    <t>Required receiver bandwidth and expected sensitivity</t>
  </si>
  <si>
    <t>1.5dB sensitivity loss bandwidth</t>
  </si>
  <si>
    <t xml:space="preserve">full sensitivity bandwidth </t>
  </si>
  <si>
    <t>minimum receiver bandwidth</t>
  </si>
  <si>
    <t>recommended bandwidth</t>
  </si>
  <si>
    <t>fade margin</t>
  </si>
  <si>
    <t>connector loss transmitted</t>
  </si>
  <si>
    <t>connector loss receiver</t>
  </si>
  <si>
    <t>Calculated range *</t>
  </si>
  <si>
    <t>*real range can be different due to environmental influences</t>
  </si>
  <si>
    <t>BW_correction</t>
  </si>
  <si>
    <r>
      <rPr>
        <b/>
        <u/>
        <sz val="18"/>
        <color theme="1"/>
        <rFont val="Calibri"/>
        <family val="2"/>
      </rPr>
      <t>Microchip®</t>
    </r>
    <r>
      <rPr>
        <b/>
        <u/>
        <sz val="18"/>
        <color theme="1"/>
        <rFont val="Calibri"/>
        <family val="2"/>
        <scheme val="minor"/>
      </rPr>
      <t xml:space="preserve"> RF parameter calculation tool</t>
    </r>
  </si>
  <si>
    <t>ATA583x [0,1,2,3] / ATA578x [0,1,2,3,5] / ATA851x [0,5] / ATA821x [0,5]</t>
  </si>
  <si>
    <t>ATA8510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</si>
</sst>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1"/>
      <color theme="0" tint="-0.249977111117893"/>
      <name val="Calibri"/>
      <family val="2"/>
    </font>
    <font>
      <sz val="11"/>
      <color theme="0" tint="-0.249977111117893"/>
      <name val="Symbol"/>
      <family val="1"/>
      <charset val="2"/>
    </font>
    <font>
      <b/>
      <u/>
      <sz val="18"/>
      <color theme="1"/>
      <name val="Calibri"/>
      <family val="2"/>
      <scheme val="minor"/>
    </font>
    <font>
      <b/>
      <u/>
      <sz val="18"/>
      <color theme="1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165" fontId="0" fillId="0" borderId="0" xfId="0" applyNumberFormat="1"/>
    <xf numFmtId="0" fontId="0" fillId="2" borderId="1" xfId="0" applyFill="1" applyBorder="1"/>
    <xf numFmtId="0" fontId="0" fillId="2" borderId="12" xfId="0" applyFill="1" applyBorder="1"/>
    <xf numFmtId="165" fontId="0" fillId="2" borderId="10" xfId="0" applyNumberFormat="1" applyFill="1" applyBorder="1"/>
    <xf numFmtId="2" fontId="0" fillId="2" borderId="10" xfId="0" applyNumberFormat="1" applyFill="1" applyBorder="1"/>
    <xf numFmtId="0" fontId="0" fillId="3" borderId="0" xfId="0" applyFill="1"/>
    <xf numFmtId="0" fontId="1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0" xfId="0" applyFill="1" applyBorder="1" applyAlignment="1">
      <alignment horizontal="right"/>
    </xf>
    <xf numFmtId="0" fontId="2" fillId="3" borderId="0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1" fillId="3" borderId="1" xfId="0" applyFont="1" applyFill="1" applyBorder="1" applyAlignment="1">
      <alignment horizontal="center"/>
    </xf>
    <xf numFmtId="0" fontId="5" fillId="3" borderId="3" xfId="0" applyFont="1" applyFill="1" applyBorder="1"/>
    <xf numFmtId="0" fontId="2" fillId="3" borderId="3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1" fillId="3" borderId="3" xfId="0" applyFont="1" applyFill="1" applyBorder="1"/>
    <xf numFmtId="165" fontId="0" fillId="3" borderId="0" xfId="0" applyNumberFormat="1" applyFill="1" applyBorder="1"/>
    <xf numFmtId="164" fontId="0" fillId="3" borderId="0" xfId="0" applyNumberFormat="1" applyFill="1" applyBorder="1"/>
    <xf numFmtId="2" fontId="0" fillId="3" borderId="11" xfId="0" applyNumberFormat="1" applyFill="1" applyBorder="1"/>
    <xf numFmtId="0" fontId="0" fillId="5" borderId="13" xfId="0" applyFill="1" applyBorder="1" applyAlignment="1" applyProtection="1">
      <alignment horizontal="right"/>
      <protection locked="0"/>
    </xf>
    <xf numFmtId="164" fontId="0" fillId="5" borderId="13" xfId="0" applyNumberFormat="1" applyFill="1" applyBorder="1" applyProtection="1">
      <protection locked="0"/>
    </xf>
    <xf numFmtId="0" fontId="0" fillId="5" borderId="13" xfId="0" applyFill="1" applyBorder="1" applyProtection="1">
      <protection locked="0"/>
    </xf>
    <xf numFmtId="0" fontId="0" fillId="5" borderId="0" xfId="0" applyFill="1" applyBorder="1" applyProtection="1">
      <protection locked="0"/>
    </xf>
    <xf numFmtId="0" fontId="0" fillId="5" borderId="14" xfId="0" applyFill="1" applyBorder="1" applyProtection="1">
      <protection locked="0"/>
    </xf>
    <xf numFmtId="0" fontId="9" fillId="3" borderId="0" xfId="0" applyFont="1" applyFill="1" applyBorder="1"/>
    <xf numFmtId="0" fontId="9" fillId="3" borderId="6" xfId="0" applyFont="1" applyFill="1" applyBorder="1"/>
    <xf numFmtId="0" fontId="9" fillId="3" borderId="0" xfId="0" applyFont="1" applyFill="1" applyBorder="1" applyAlignment="1">
      <alignment horizontal="right"/>
    </xf>
    <xf numFmtId="0" fontId="7" fillId="4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81"/>
  <sheetViews>
    <sheetView tabSelected="1" topLeftCell="A25" zoomScaleNormal="100" workbookViewId="0">
      <selection activeCell="E47" sqref="E47"/>
    </sheetView>
  </sheetViews>
  <sheetFormatPr defaultColWidth="0" defaultRowHeight="15" zeroHeight="1" x14ac:dyDescent="0.25"/>
  <cols>
    <col min="1" max="1" width="9.140625" customWidth="1"/>
    <col min="2" max="3" width="13.28515625" customWidth="1"/>
    <col min="4" max="4" width="10.140625" customWidth="1"/>
    <col min="5" max="5" width="9.140625" customWidth="1"/>
    <col min="6" max="6" width="9.28515625" bestFit="1" customWidth="1"/>
    <col min="7" max="7" width="9.140625" customWidth="1"/>
    <col min="8" max="8" width="10" bestFit="1" customWidth="1"/>
    <col min="9" max="9" width="12" bestFit="1" customWidth="1"/>
    <col min="10" max="10" width="18.42578125" customWidth="1"/>
    <col min="11" max="15" width="9.140625" customWidth="1"/>
    <col min="16" max="16" width="12" hidden="1" customWidth="1"/>
    <col min="17" max="17" width="10" hidden="1" customWidth="1"/>
    <col min="18" max="30" width="9.140625" hidden="1" customWidth="1"/>
    <col min="31" max="32" width="0" hidden="1" customWidth="1"/>
    <col min="33" max="16384" width="9.140625" hidden="1"/>
  </cols>
  <sheetData>
    <row r="1" spans="1:23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23" ht="23.25" x14ac:dyDescent="0.35">
      <c r="A2" s="7"/>
      <c r="B2" s="36" t="s">
        <v>89</v>
      </c>
      <c r="C2" s="36"/>
      <c r="D2" s="36"/>
      <c r="E2" s="36"/>
      <c r="F2" s="36"/>
      <c r="G2" s="36"/>
      <c r="H2" s="7"/>
      <c r="I2" s="7"/>
      <c r="J2" s="7"/>
      <c r="K2" s="7"/>
      <c r="L2" s="7"/>
      <c r="M2" s="7"/>
      <c r="N2" s="7"/>
      <c r="O2" s="7"/>
    </row>
    <row r="3" spans="1:23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23" ht="15.75" thickBo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23" ht="15.75" thickBot="1" x14ac:dyDescent="0.3">
      <c r="A5" s="7"/>
      <c r="B5" s="8" t="s">
        <v>74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"/>
    </row>
    <row r="6" spans="1:23" ht="15.75" thickBot="1" x14ac:dyDescent="0.3">
      <c r="A6" s="7"/>
      <c r="B6" s="11" t="s">
        <v>69</v>
      </c>
      <c r="C6" s="12"/>
      <c r="D6" s="28" t="s">
        <v>91</v>
      </c>
      <c r="E6" s="12" t="s">
        <v>70</v>
      </c>
      <c r="F6" s="12"/>
      <c r="G6" s="12" t="s">
        <v>90</v>
      </c>
      <c r="H6" s="12"/>
      <c r="I6" s="12"/>
      <c r="J6" s="12"/>
      <c r="K6" s="12"/>
      <c r="L6" s="12"/>
      <c r="M6" s="12"/>
      <c r="N6" s="13"/>
      <c r="O6" s="7"/>
    </row>
    <row r="7" spans="1:23" ht="15.75" thickBot="1" x14ac:dyDescent="0.3">
      <c r="A7" s="7"/>
      <c r="B7" s="11" t="s">
        <v>2</v>
      </c>
      <c r="C7" s="14" t="s">
        <v>20</v>
      </c>
      <c r="D7" s="29">
        <v>433.125</v>
      </c>
      <c r="E7" s="12" t="s">
        <v>6</v>
      </c>
      <c r="F7" s="12"/>
      <c r="G7" s="15" t="s">
        <v>76</v>
      </c>
      <c r="H7" s="15"/>
      <c r="I7" s="15" t="s">
        <v>73</v>
      </c>
      <c r="J7" s="15">
        <f>(D7*1000000-J8)/1000000</f>
        <v>433.12413375</v>
      </c>
      <c r="K7" s="15">
        <f>(D7*1000000+J8)/1000000</f>
        <v>433.12586625</v>
      </c>
      <c r="L7" s="15" t="s">
        <v>6</v>
      </c>
      <c r="M7" s="12"/>
      <c r="N7" s="13"/>
      <c r="O7" s="7"/>
      <c r="V7" t="s">
        <v>67</v>
      </c>
      <c r="W7" t="s">
        <v>16</v>
      </c>
    </row>
    <row r="8" spans="1:23" ht="15.75" thickBot="1" x14ac:dyDescent="0.3">
      <c r="A8" s="7"/>
      <c r="B8" s="11" t="s">
        <v>4</v>
      </c>
      <c r="C8" s="14" t="s">
        <v>21</v>
      </c>
      <c r="D8" s="30">
        <v>2</v>
      </c>
      <c r="E8" s="12" t="s">
        <v>5</v>
      </c>
      <c r="F8" s="12"/>
      <c r="G8" s="15" t="s">
        <v>8</v>
      </c>
      <c r="H8" s="15"/>
      <c r="I8" s="15"/>
      <c r="J8" s="15">
        <f>D7*1000000*D8*0.000001</f>
        <v>866.25</v>
      </c>
      <c r="K8" s="15" t="s">
        <v>7</v>
      </c>
      <c r="L8" s="15"/>
      <c r="M8" s="12"/>
      <c r="N8" s="13"/>
      <c r="O8" s="7"/>
      <c r="V8">
        <v>1</v>
      </c>
      <c r="W8">
        <v>25000</v>
      </c>
    </row>
    <row r="9" spans="1:23" x14ac:dyDescent="0.25">
      <c r="A9" s="7"/>
      <c r="B9" s="11"/>
      <c r="C9" s="12"/>
      <c r="D9" s="12"/>
      <c r="E9" s="12"/>
      <c r="F9" s="12"/>
      <c r="G9" s="15"/>
      <c r="H9" s="15"/>
      <c r="I9" s="15"/>
      <c r="J9" s="15"/>
      <c r="K9" s="15"/>
      <c r="L9" s="15"/>
      <c r="M9" s="12"/>
      <c r="N9" s="13"/>
      <c r="O9" s="7"/>
      <c r="V9">
        <v>2</v>
      </c>
      <c r="W9">
        <v>27000</v>
      </c>
    </row>
    <row r="10" spans="1:23" x14ac:dyDescent="0.25">
      <c r="A10" s="7"/>
      <c r="B10" s="11" t="s">
        <v>9</v>
      </c>
      <c r="C10" s="14" t="s">
        <v>22</v>
      </c>
      <c r="D10" s="31">
        <f>D8</f>
        <v>2</v>
      </c>
      <c r="E10" s="12" t="s">
        <v>5</v>
      </c>
      <c r="F10" s="12"/>
      <c r="G10" s="15" t="s">
        <v>11</v>
      </c>
      <c r="H10" s="15"/>
      <c r="I10" s="15"/>
      <c r="J10" s="15">
        <f>D7*1000000*D10*0.000001</f>
        <v>866.25</v>
      </c>
      <c r="K10" s="15" t="s">
        <v>7</v>
      </c>
      <c r="L10" s="15"/>
      <c r="M10" s="12"/>
      <c r="N10" s="13"/>
      <c r="O10" s="7"/>
      <c r="V10">
        <v>3</v>
      </c>
      <c r="W10">
        <v>29000</v>
      </c>
    </row>
    <row r="11" spans="1:23" x14ac:dyDescent="0.25">
      <c r="A11" s="7"/>
      <c r="B11" s="11" t="s">
        <v>10</v>
      </c>
      <c r="C11" s="14" t="s">
        <v>23</v>
      </c>
      <c r="D11" s="31">
        <f>D8</f>
        <v>2</v>
      </c>
      <c r="E11" s="12" t="s">
        <v>5</v>
      </c>
      <c r="F11" s="12"/>
      <c r="G11" s="15" t="s">
        <v>12</v>
      </c>
      <c r="H11" s="15"/>
      <c r="I11" s="15"/>
      <c r="J11" s="15">
        <f>D7*1000000*D11*0.000001</f>
        <v>866.25</v>
      </c>
      <c r="K11" s="15" t="s">
        <v>7</v>
      </c>
      <c r="L11" s="15"/>
      <c r="M11" s="12"/>
      <c r="N11" s="13"/>
      <c r="O11" s="7"/>
      <c r="V11">
        <v>4</v>
      </c>
      <c r="W11">
        <v>33000</v>
      </c>
    </row>
    <row r="12" spans="1:23" x14ac:dyDescent="0.25">
      <c r="A12" s="7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  <c r="O12" s="7"/>
      <c r="V12">
        <v>5</v>
      </c>
      <c r="W12">
        <v>35000</v>
      </c>
    </row>
    <row r="13" spans="1:23" x14ac:dyDescent="0.25">
      <c r="A13" s="7"/>
      <c r="B13" s="11"/>
      <c r="C13" s="12"/>
      <c r="D13" s="12" t="s">
        <v>77</v>
      </c>
      <c r="E13" s="12"/>
      <c r="F13" s="12"/>
      <c r="G13" s="12"/>
      <c r="H13" s="12"/>
      <c r="I13" s="12" t="s">
        <v>19</v>
      </c>
      <c r="J13" s="12">
        <f>J11+J10</f>
        <v>1732.5</v>
      </c>
      <c r="K13" s="12" t="s">
        <v>7</v>
      </c>
      <c r="L13" s="12"/>
      <c r="M13" s="12"/>
      <c r="N13" s="13"/>
      <c r="O13" s="7"/>
      <c r="V13">
        <v>6</v>
      </c>
      <c r="W13">
        <v>41000</v>
      </c>
    </row>
    <row r="14" spans="1:23" ht="15.75" thickBot="1" x14ac:dyDescent="0.3">
      <c r="A14" s="7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  <c r="O14" s="7"/>
      <c r="V14">
        <v>7</v>
      </c>
      <c r="W14">
        <v>45000</v>
      </c>
    </row>
    <row r="15" spans="1:23" ht="15.75" thickBot="1" x14ac:dyDescent="0.3">
      <c r="A15" s="7"/>
      <c r="B15" s="11" t="s">
        <v>29</v>
      </c>
      <c r="C15" s="14" t="s">
        <v>30</v>
      </c>
      <c r="D15" s="30">
        <v>6</v>
      </c>
      <c r="E15" s="12" t="s">
        <v>31</v>
      </c>
      <c r="F15" s="15">
        <f>10^(D15/10)</f>
        <v>3.9810717055349727</v>
      </c>
      <c r="G15" s="15" t="s">
        <v>32</v>
      </c>
      <c r="H15" s="35" t="s">
        <v>55</v>
      </c>
      <c r="I15" s="33">
        <f>IF(D15&gt;8,1,0)</f>
        <v>0</v>
      </c>
      <c r="J15" s="12"/>
      <c r="K15" s="12"/>
      <c r="L15" s="12"/>
      <c r="M15" s="12"/>
      <c r="N15" s="13"/>
      <c r="O15" s="7"/>
      <c r="V15">
        <v>8</v>
      </c>
      <c r="W15">
        <v>50000</v>
      </c>
    </row>
    <row r="16" spans="1:23" ht="15.75" thickBot="1" x14ac:dyDescent="0.3">
      <c r="A16" s="7"/>
      <c r="B16" s="11" t="s">
        <v>3</v>
      </c>
      <c r="C16" s="14" t="s">
        <v>24</v>
      </c>
      <c r="D16" s="28" t="s">
        <v>18</v>
      </c>
      <c r="E16" s="12"/>
      <c r="F16" s="12"/>
      <c r="G16" s="12"/>
      <c r="H16" s="12"/>
      <c r="I16" s="12"/>
      <c r="J16" s="12"/>
      <c r="K16" s="12"/>
      <c r="L16" s="12"/>
      <c r="M16" s="12"/>
      <c r="N16" s="13"/>
      <c r="O16" s="7"/>
      <c r="V16">
        <v>9</v>
      </c>
      <c r="W16">
        <v>55000</v>
      </c>
    </row>
    <row r="17" spans="1:23" ht="15.75" thickBot="1" x14ac:dyDescent="0.3">
      <c r="A17" s="7"/>
      <c r="B17" s="11" t="s">
        <v>0</v>
      </c>
      <c r="C17" s="14" t="s">
        <v>25</v>
      </c>
      <c r="D17" s="30">
        <v>10</v>
      </c>
      <c r="E17" s="12" t="s">
        <v>14</v>
      </c>
      <c r="F17" s="15">
        <f>D17*1000</f>
        <v>10000</v>
      </c>
      <c r="G17" s="15" t="s">
        <v>17</v>
      </c>
      <c r="H17" s="12"/>
      <c r="I17" s="12"/>
      <c r="J17" s="12"/>
      <c r="K17" s="12"/>
      <c r="L17" s="12"/>
      <c r="M17" s="12"/>
      <c r="N17" s="13"/>
      <c r="O17" s="7"/>
      <c r="V17">
        <v>10</v>
      </c>
      <c r="W17">
        <v>61000</v>
      </c>
    </row>
    <row r="18" spans="1:23" ht="15.75" thickBot="1" x14ac:dyDescent="0.3">
      <c r="A18" s="7"/>
      <c r="B18" s="11" t="s">
        <v>1</v>
      </c>
      <c r="C18" s="14" t="s">
        <v>26</v>
      </c>
      <c r="D18" s="32">
        <v>10</v>
      </c>
      <c r="E18" s="12" t="s">
        <v>15</v>
      </c>
      <c r="F18" s="15">
        <f>D18*1000</f>
        <v>10000</v>
      </c>
      <c r="G18" s="15" t="s">
        <v>7</v>
      </c>
      <c r="H18" s="12"/>
      <c r="I18" s="12"/>
      <c r="J18" s="12"/>
      <c r="K18" s="12"/>
      <c r="L18" s="12"/>
      <c r="M18" s="12"/>
      <c r="N18" s="13"/>
      <c r="O18" s="7"/>
      <c r="V18">
        <v>11</v>
      </c>
      <c r="W18">
        <v>71000</v>
      </c>
    </row>
    <row r="19" spans="1:23" x14ac:dyDescent="0.25">
      <c r="A19" s="7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3"/>
      <c r="O19" s="7"/>
      <c r="V19">
        <v>12</v>
      </c>
      <c r="W19">
        <v>80000</v>
      </c>
    </row>
    <row r="20" spans="1:23" ht="15.75" thickBot="1" x14ac:dyDescent="0.3">
      <c r="A20" s="7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7"/>
      <c r="V20">
        <v>13</v>
      </c>
      <c r="W20">
        <v>93000</v>
      </c>
    </row>
    <row r="21" spans="1:23" x14ac:dyDescent="0.25">
      <c r="A21" s="7"/>
      <c r="B21" s="8" t="s">
        <v>78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"/>
      <c r="O21" s="7"/>
      <c r="V21">
        <v>14</v>
      </c>
      <c r="W21">
        <v>99000</v>
      </c>
    </row>
    <row r="22" spans="1:23" ht="15.75" thickBot="1" x14ac:dyDescent="0.3">
      <c r="A22" s="7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/>
      <c r="O22" s="7"/>
      <c r="V22">
        <v>15</v>
      </c>
      <c r="W22">
        <v>110000</v>
      </c>
    </row>
    <row r="23" spans="1:23" ht="15.75" thickBot="1" x14ac:dyDescent="0.3">
      <c r="A23" s="7"/>
      <c r="B23" s="19" t="s">
        <v>18</v>
      </c>
      <c r="C23" s="9"/>
      <c r="D23" s="9"/>
      <c r="E23" s="9"/>
      <c r="F23" s="9"/>
      <c r="G23" s="9"/>
      <c r="H23" s="10"/>
      <c r="I23" s="12"/>
      <c r="J23" s="12"/>
      <c r="K23" s="12"/>
      <c r="L23" s="12"/>
      <c r="M23" s="12"/>
      <c r="N23" s="13"/>
      <c r="O23" s="7"/>
      <c r="V23">
        <v>16</v>
      </c>
      <c r="W23">
        <v>123000</v>
      </c>
    </row>
    <row r="24" spans="1:23" x14ac:dyDescent="0.25">
      <c r="A24" s="7"/>
      <c r="B24" s="11" t="s">
        <v>79</v>
      </c>
      <c r="C24" s="12"/>
      <c r="D24" s="12"/>
      <c r="E24" s="12" t="s">
        <v>27</v>
      </c>
      <c r="F24" s="12">
        <f>IF(D16="FSK",(J13+SQRT(F17^2+F18^2))*2,"-")</f>
        <v>31749.2712474619</v>
      </c>
      <c r="G24" s="12" t="s">
        <v>7</v>
      </c>
      <c r="H24" s="13"/>
      <c r="I24" s="12"/>
      <c r="J24" s="33"/>
      <c r="K24" s="33"/>
      <c r="L24" s="33"/>
      <c r="M24" s="33"/>
      <c r="N24" s="34"/>
      <c r="O24" s="7"/>
      <c r="V24">
        <v>17</v>
      </c>
      <c r="W24">
        <v>134000</v>
      </c>
    </row>
    <row r="25" spans="1:23" x14ac:dyDescent="0.25">
      <c r="A25" s="7"/>
      <c r="B25" s="11" t="s">
        <v>80</v>
      </c>
      <c r="C25" s="12"/>
      <c r="D25" s="12"/>
      <c r="E25" s="12" t="s">
        <v>28</v>
      </c>
      <c r="F25" s="12">
        <f>IF(D16="FSK",(J13+SQRT(F17^2+F18^2))*16/7,"-")</f>
        <v>36284.881425670741</v>
      </c>
      <c r="G25" s="12" t="s">
        <v>7</v>
      </c>
      <c r="H25" s="13"/>
      <c r="I25" s="12"/>
      <c r="J25" s="33"/>
      <c r="K25" s="33"/>
      <c r="L25" s="33"/>
      <c r="M25" s="33"/>
      <c r="N25" s="34"/>
      <c r="O25" s="7"/>
      <c r="V25">
        <v>18</v>
      </c>
      <c r="W25">
        <v>146000</v>
      </c>
    </row>
    <row r="26" spans="1:23" ht="15.75" thickBot="1" x14ac:dyDescent="0.3">
      <c r="A26" s="7"/>
      <c r="B26" s="11" t="s">
        <v>81</v>
      </c>
      <c r="C26" s="12"/>
      <c r="D26" s="12"/>
      <c r="E26" s="12" t="s">
        <v>53</v>
      </c>
      <c r="F26" s="12">
        <f>IF(D16="FSK",INDEX(W8:W33,MATCH(F25,W8:W33)+1)/1000,"-")</f>
        <v>41</v>
      </c>
      <c r="G26" s="12" t="s">
        <v>15</v>
      </c>
      <c r="H26" s="13"/>
      <c r="I26" s="12"/>
      <c r="J26" s="33" t="s">
        <v>66</v>
      </c>
      <c r="K26" s="33"/>
      <c r="L26" s="33"/>
      <c r="M26" s="33"/>
      <c r="N26" s="34"/>
      <c r="O26" s="7"/>
      <c r="V26">
        <v>19</v>
      </c>
      <c r="W26">
        <v>165000</v>
      </c>
    </row>
    <row r="27" spans="1:23" ht="15.75" thickBot="1" x14ac:dyDescent="0.3">
      <c r="A27" s="7"/>
      <c r="B27" s="16" t="s">
        <v>82</v>
      </c>
      <c r="C27" s="17"/>
      <c r="D27" s="17"/>
      <c r="E27" s="17" t="s">
        <v>54</v>
      </c>
      <c r="F27" s="3">
        <f>IF(D16="FSK",IF(INDEX(W8:W33,MATCH(F25,W8:W33)+1)/1000=366,366,INDEX(W8:W33,MATCH(F25,W8:W33)+2)/1000),"-")</f>
        <v>45</v>
      </c>
      <c r="G27" s="17" t="s">
        <v>15</v>
      </c>
      <c r="H27" s="18"/>
      <c r="I27" s="12"/>
      <c r="J27" s="33"/>
      <c r="K27" s="33"/>
      <c r="L27" s="33"/>
      <c r="M27" s="33"/>
      <c r="N27" s="34"/>
      <c r="O27" s="7"/>
      <c r="V27">
        <v>20</v>
      </c>
      <c r="W27">
        <v>185000</v>
      </c>
    </row>
    <row r="28" spans="1:23" ht="15.75" thickBot="1" x14ac:dyDescent="0.3">
      <c r="A28" s="7"/>
      <c r="B28" s="11"/>
      <c r="C28" s="12"/>
      <c r="D28" s="12"/>
      <c r="E28" s="12"/>
      <c r="F28" s="12"/>
      <c r="G28" s="12"/>
      <c r="H28" s="12"/>
      <c r="I28" s="12"/>
      <c r="J28" s="33"/>
      <c r="K28" s="33"/>
      <c r="L28" s="33" t="s">
        <v>18</v>
      </c>
      <c r="M28" s="33" t="s">
        <v>13</v>
      </c>
      <c r="N28" s="34"/>
      <c r="O28" s="7"/>
      <c r="V28">
        <v>21</v>
      </c>
      <c r="W28">
        <v>219000</v>
      </c>
    </row>
    <row r="29" spans="1:23" ht="15.75" thickBot="1" x14ac:dyDescent="0.3">
      <c r="A29" s="7"/>
      <c r="B29" s="19" t="s">
        <v>13</v>
      </c>
      <c r="C29" s="9"/>
      <c r="D29" s="9"/>
      <c r="E29" s="20" t="s">
        <v>71</v>
      </c>
      <c r="F29" s="21" t="str">
        <f>IF(D16="ASK",(58*D7/433.92*F15/25.1*1/(I15+1))*EXP(-1/(21*1/(1+I15)*0.000001*F17*20)),"-")</f>
        <v>-</v>
      </c>
      <c r="G29" s="21" t="s">
        <v>15</v>
      </c>
      <c r="H29" s="10"/>
      <c r="I29" s="12"/>
      <c r="J29" s="33" t="s">
        <v>61</v>
      </c>
      <c r="K29" s="33"/>
      <c r="L29" s="33">
        <v>-121</v>
      </c>
      <c r="M29" s="33">
        <v>-121</v>
      </c>
      <c r="N29" s="34" t="s">
        <v>31</v>
      </c>
      <c r="O29" s="7"/>
      <c r="V29">
        <v>22</v>
      </c>
      <c r="W29">
        <v>237000</v>
      </c>
    </row>
    <row r="30" spans="1:23" x14ac:dyDescent="0.25">
      <c r="A30" s="7"/>
      <c r="B30" s="11" t="s">
        <v>79</v>
      </c>
      <c r="C30" s="12"/>
      <c r="D30" s="12"/>
      <c r="E30" s="12" t="s">
        <v>27</v>
      </c>
      <c r="F30" s="12" t="str">
        <f>IF(D16="ASK",(J13+F29+D17)*2,"-")</f>
        <v>-</v>
      </c>
      <c r="G30" s="12" t="s">
        <v>7</v>
      </c>
      <c r="H30" s="13"/>
      <c r="I30" s="12"/>
      <c r="J30" s="33" t="s">
        <v>88</v>
      </c>
      <c r="K30" s="33"/>
      <c r="L30" s="33">
        <f>3-366/F27/5</f>
        <v>1.3733333333333335</v>
      </c>
      <c r="M30" s="33" t="e">
        <f>(F33/25)/3</f>
        <v>#VALUE!</v>
      </c>
      <c r="N30" s="34" t="s">
        <v>47</v>
      </c>
      <c r="O30" s="7"/>
      <c r="V30">
        <v>23</v>
      </c>
      <c r="W30">
        <v>243000</v>
      </c>
    </row>
    <row r="31" spans="1:23" x14ac:dyDescent="0.25">
      <c r="A31" s="7"/>
      <c r="B31" s="11" t="s">
        <v>80</v>
      </c>
      <c r="C31" s="12"/>
      <c r="D31" s="12"/>
      <c r="E31" s="12" t="s">
        <v>28</v>
      </c>
      <c r="F31" s="12" t="str">
        <f>IF(D16="ASK",(J13+F29+D17)*16/7,"-")</f>
        <v>-</v>
      </c>
      <c r="G31" s="12" t="s">
        <v>7</v>
      </c>
      <c r="H31" s="13"/>
      <c r="I31" s="12"/>
      <c r="J31" s="33" t="s">
        <v>62</v>
      </c>
      <c r="K31" s="33"/>
      <c r="L31" s="33">
        <f>ABS(LOG10(D17/D18))</f>
        <v>0</v>
      </c>
      <c r="M31" s="33"/>
      <c r="N31" s="34" t="s">
        <v>47</v>
      </c>
      <c r="O31" s="7"/>
      <c r="V31">
        <v>24</v>
      </c>
      <c r="W31">
        <v>276000</v>
      </c>
    </row>
    <row r="32" spans="1:23" ht="15.75" thickBot="1" x14ac:dyDescent="0.3">
      <c r="A32" s="7"/>
      <c r="B32" s="11" t="s">
        <v>81</v>
      </c>
      <c r="C32" s="12"/>
      <c r="D32" s="12"/>
      <c r="E32" s="12" t="s">
        <v>53</v>
      </c>
      <c r="F32" s="12" t="str">
        <f>IF(D16="ASK",INDEX(W8:W33,MATCH(F31,W8:W33)+1)/1000,"-")</f>
        <v>-</v>
      </c>
      <c r="G32" s="12" t="s">
        <v>15</v>
      </c>
      <c r="H32" s="13"/>
      <c r="I32" s="12"/>
      <c r="J32" s="33" t="s">
        <v>63</v>
      </c>
      <c r="K32" s="33"/>
      <c r="L32" s="33">
        <f>LOG10(D17)*10</f>
        <v>10</v>
      </c>
      <c r="M32" s="33">
        <f>ABS(LOG10((D17*2)/2))*(366/25/2)</f>
        <v>7.32</v>
      </c>
      <c r="N32" s="34" t="s">
        <v>47</v>
      </c>
      <c r="O32" s="7"/>
      <c r="V32">
        <v>25</v>
      </c>
      <c r="W32">
        <v>326000</v>
      </c>
    </row>
    <row r="33" spans="1:29" ht="15.75" thickBot="1" x14ac:dyDescent="0.3">
      <c r="A33" s="7"/>
      <c r="B33" s="16" t="s">
        <v>82</v>
      </c>
      <c r="C33" s="17"/>
      <c r="D33" s="17"/>
      <c r="E33" s="17" t="s">
        <v>54</v>
      </c>
      <c r="F33" s="3" t="str">
        <f>IF(D16="ASK",IF(INDEX(W8:W33,MATCH(F31,W8:W33)+1)/1000=366,366,INDEX(W8:W33,MATCH(F31,W8:W33)+2)/1000),"-")</f>
        <v>-</v>
      </c>
      <c r="G33" s="17" t="s">
        <v>15</v>
      </c>
      <c r="H33" s="18"/>
      <c r="I33" s="12"/>
      <c r="J33" s="33" t="s">
        <v>64</v>
      </c>
      <c r="K33" s="33"/>
      <c r="L33" s="33">
        <f>F27/100*ABS(LOG10(D18/D17)*2)</f>
        <v>0</v>
      </c>
      <c r="M33" s="33"/>
      <c r="N33" s="34" t="s">
        <v>47</v>
      </c>
      <c r="O33" s="7"/>
      <c r="V33">
        <v>26</v>
      </c>
      <c r="W33">
        <v>366000</v>
      </c>
    </row>
    <row r="34" spans="1:29" ht="15.75" thickBot="1" x14ac:dyDescent="0.3">
      <c r="A34" s="7"/>
      <c r="B34" s="11"/>
      <c r="C34" s="12"/>
      <c r="D34" s="12"/>
      <c r="E34" s="12"/>
      <c r="F34" s="12"/>
      <c r="G34" s="12"/>
      <c r="H34" s="12"/>
      <c r="I34" s="12"/>
      <c r="J34" s="33" t="s">
        <v>65</v>
      </c>
      <c r="K34" s="33"/>
      <c r="L34" s="33">
        <f>IF(D7&gt;500,1,0)</f>
        <v>0</v>
      </c>
      <c r="M34" s="33">
        <f>IF(D7&gt;500,1,0)</f>
        <v>0</v>
      </c>
      <c r="N34" s="34" t="s">
        <v>47</v>
      </c>
      <c r="O34" s="7"/>
    </row>
    <row r="35" spans="1:29" ht="15.75" thickBot="1" x14ac:dyDescent="0.3">
      <c r="A35" s="7"/>
      <c r="B35" s="22" t="s">
        <v>75</v>
      </c>
      <c r="C35" s="23"/>
      <c r="D35" s="23"/>
      <c r="E35" s="23"/>
      <c r="F35" s="5">
        <f>IF(D16="FSK",L29+L30+L32+L31+L33+L34+L35,M29+M30+M32+M34+M35)</f>
        <v>-111.12666666666667</v>
      </c>
      <c r="G35" s="4" t="s">
        <v>31</v>
      </c>
      <c r="H35" s="12"/>
      <c r="I35" s="12"/>
      <c r="J35" s="33" t="s">
        <v>72</v>
      </c>
      <c r="K35" s="33"/>
      <c r="L35" s="33">
        <f>IF(OR(D6="ATA5830",D6="ATA5780"),0,-1.5)</f>
        <v>-1.5</v>
      </c>
      <c r="M35" s="33">
        <f>L35</f>
        <v>-1.5</v>
      </c>
      <c r="N35" s="34" t="s">
        <v>47</v>
      </c>
      <c r="O35" s="7"/>
    </row>
    <row r="36" spans="1:29" ht="15.75" thickBot="1" x14ac:dyDescent="0.3">
      <c r="A36" s="7"/>
      <c r="B36" s="11"/>
      <c r="C36" s="12"/>
      <c r="D36" s="12"/>
      <c r="E36" s="12"/>
      <c r="F36" s="12"/>
      <c r="G36" s="12"/>
      <c r="H36" s="12"/>
      <c r="I36" s="12"/>
      <c r="J36" s="7"/>
      <c r="K36" s="7"/>
      <c r="L36" s="7"/>
      <c r="M36" s="7"/>
      <c r="N36" s="13"/>
      <c r="O36" s="7"/>
    </row>
    <row r="37" spans="1:29" x14ac:dyDescent="0.25">
      <c r="A37" s="7"/>
      <c r="B37" s="8" t="s">
        <v>37</v>
      </c>
      <c r="C37" s="24"/>
      <c r="D37" s="24"/>
      <c r="E37" s="9"/>
      <c r="F37" s="9"/>
      <c r="G37" s="9"/>
      <c r="H37" s="9"/>
      <c r="I37" s="9"/>
      <c r="J37" s="9"/>
      <c r="K37" s="9"/>
      <c r="L37" s="9"/>
      <c r="M37" s="9"/>
      <c r="N37" s="10"/>
      <c r="O37" s="7"/>
      <c r="V37" t="s">
        <v>68</v>
      </c>
      <c r="Z37" t="s">
        <v>59</v>
      </c>
      <c r="AB37" t="s">
        <v>60</v>
      </c>
    </row>
    <row r="38" spans="1:29" x14ac:dyDescent="0.25">
      <c r="A38" s="7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/>
      <c r="O38" s="7"/>
    </row>
    <row r="39" spans="1:29" x14ac:dyDescent="0.25">
      <c r="A39" s="7"/>
      <c r="B39" s="11" t="s">
        <v>33</v>
      </c>
      <c r="C39" s="12"/>
      <c r="D39" s="14" t="s">
        <v>35</v>
      </c>
      <c r="E39" s="12">
        <v>27</v>
      </c>
      <c r="F39" s="12" t="s">
        <v>31</v>
      </c>
      <c r="G39" s="12"/>
      <c r="H39" s="12" t="s">
        <v>50</v>
      </c>
      <c r="I39" s="12">
        <v>299792458</v>
      </c>
      <c r="J39" s="12" t="s">
        <v>51</v>
      </c>
      <c r="K39" s="12"/>
      <c r="L39" s="12"/>
      <c r="M39" s="12"/>
      <c r="N39" s="13"/>
      <c r="O39" s="7"/>
    </row>
    <row r="40" spans="1:29" ht="15.75" thickBot="1" x14ac:dyDescent="0.3">
      <c r="A40" s="7"/>
      <c r="B40" s="11" t="s">
        <v>34</v>
      </c>
      <c r="C40" s="12"/>
      <c r="D40" s="14" t="s">
        <v>36</v>
      </c>
      <c r="E40" s="25">
        <v>-129</v>
      </c>
      <c r="F40" s="12" t="s">
        <v>31</v>
      </c>
      <c r="G40" s="12"/>
      <c r="H40" s="12" t="s">
        <v>49</v>
      </c>
      <c r="I40" s="26">
        <f>I39/(D7*1000000)</f>
        <v>0.69216151919191915</v>
      </c>
      <c r="J40" s="12" t="s">
        <v>52</v>
      </c>
      <c r="K40" s="12"/>
      <c r="L40" s="12"/>
      <c r="M40" s="12"/>
      <c r="N40" s="13"/>
      <c r="O40" s="7"/>
      <c r="V40" t="s">
        <v>58</v>
      </c>
      <c r="W40" t="s">
        <v>16</v>
      </c>
      <c r="X40" t="s">
        <v>56</v>
      </c>
      <c r="Y40" t="s">
        <v>57</v>
      </c>
    </row>
    <row r="41" spans="1:29" ht="15.75" thickBot="1" x14ac:dyDescent="0.3">
      <c r="A41" s="7"/>
      <c r="B41" s="11" t="s">
        <v>45</v>
      </c>
      <c r="C41" s="12"/>
      <c r="D41" s="14" t="s">
        <v>38</v>
      </c>
      <c r="E41" s="30">
        <v>4</v>
      </c>
      <c r="F41" s="12" t="s">
        <v>47</v>
      </c>
      <c r="G41" s="12"/>
      <c r="H41" s="12" t="s">
        <v>48</v>
      </c>
      <c r="I41" s="12"/>
      <c r="J41" s="12"/>
      <c r="K41" s="12"/>
      <c r="L41" s="12"/>
      <c r="M41" s="12"/>
      <c r="N41" s="13"/>
      <c r="O41" s="7"/>
      <c r="V41" t="s">
        <v>18</v>
      </c>
      <c r="W41">
        <v>25</v>
      </c>
      <c r="X41">
        <v>0.75</v>
      </c>
      <c r="Y41">
        <v>0.75</v>
      </c>
      <c r="Z41">
        <v>-121</v>
      </c>
      <c r="AB41">
        <v>-122.5</v>
      </c>
      <c r="AC41">
        <f>AB41-Z41</f>
        <v>-1.5</v>
      </c>
    </row>
    <row r="42" spans="1:29" ht="15.75" thickBot="1" x14ac:dyDescent="0.3">
      <c r="A42" s="7"/>
      <c r="B42" s="11" t="s">
        <v>44</v>
      </c>
      <c r="C42" s="12"/>
      <c r="D42" s="14" t="s">
        <v>39</v>
      </c>
      <c r="E42" s="30">
        <v>2</v>
      </c>
      <c r="F42" s="12" t="s">
        <v>47</v>
      </c>
      <c r="G42" s="12"/>
      <c r="H42" s="12"/>
      <c r="I42" s="12"/>
      <c r="J42" s="12"/>
      <c r="K42" s="12"/>
      <c r="L42" s="12"/>
      <c r="M42" s="12"/>
      <c r="N42" s="13"/>
      <c r="O42" s="7"/>
      <c r="V42" t="s">
        <v>18</v>
      </c>
      <c r="W42">
        <v>25</v>
      </c>
      <c r="X42">
        <v>1</v>
      </c>
      <c r="Y42">
        <v>1</v>
      </c>
      <c r="Z42">
        <v>-120</v>
      </c>
    </row>
    <row r="43" spans="1:29" ht="15.75" thickBot="1" x14ac:dyDescent="0.3">
      <c r="A43" s="7"/>
      <c r="B43" s="11" t="s">
        <v>84</v>
      </c>
      <c r="C43" s="12"/>
      <c r="D43" s="14" t="s">
        <v>40</v>
      </c>
      <c r="E43" s="30">
        <v>0</v>
      </c>
      <c r="F43" s="12" t="s">
        <v>47</v>
      </c>
      <c r="G43" s="12"/>
      <c r="H43" s="12"/>
      <c r="I43" s="12"/>
      <c r="J43" s="12"/>
      <c r="K43" s="12"/>
      <c r="L43" s="12"/>
      <c r="M43" s="12"/>
      <c r="N43" s="13"/>
      <c r="O43" s="7"/>
      <c r="V43" t="s">
        <v>18</v>
      </c>
      <c r="W43">
        <v>25</v>
      </c>
      <c r="X43">
        <v>2.4</v>
      </c>
      <c r="Y43">
        <v>2.4</v>
      </c>
      <c r="Z43">
        <v>-115.5</v>
      </c>
    </row>
    <row r="44" spans="1:29" ht="15.75" thickBot="1" x14ac:dyDescent="0.3">
      <c r="A44" s="7"/>
      <c r="B44" s="11" t="s">
        <v>85</v>
      </c>
      <c r="C44" s="12"/>
      <c r="D44" s="14" t="s">
        <v>41</v>
      </c>
      <c r="E44" s="30">
        <v>0</v>
      </c>
      <c r="F44" s="12" t="s">
        <v>47</v>
      </c>
      <c r="G44" s="12"/>
      <c r="H44" s="22" t="s">
        <v>86</v>
      </c>
      <c r="I44" s="27"/>
      <c r="J44" s="6">
        <f>I40/(4*PI()*10^((E45+E46)/20))</f>
        <v>3475342.3044970464</v>
      </c>
      <c r="K44" s="4" t="s">
        <v>52</v>
      </c>
      <c r="L44" s="12"/>
      <c r="M44" s="12"/>
      <c r="N44" s="13"/>
      <c r="O44" s="7"/>
      <c r="V44" t="s">
        <v>18</v>
      </c>
      <c r="W44">
        <v>25</v>
      </c>
      <c r="X44">
        <v>5</v>
      </c>
      <c r="Y44">
        <v>2.4</v>
      </c>
      <c r="Z44">
        <v>-111.5</v>
      </c>
      <c r="AB44">
        <v>-113.5</v>
      </c>
      <c r="AC44">
        <f t="shared" ref="AC44:AC81" si="0">AB44-Z44</f>
        <v>-2</v>
      </c>
    </row>
    <row r="45" spans="1:29" ht="15.75" thickBot="1" x14ac:dyDescent="0.3">
      <c r="A45" s="7"/>
      <c r="B45" s="11" t="s">
        <v>46</v>
      </c>
      <c r="C45" s="12"/>
      <c r="D45" s="14" t="s">
        <v>42</v>
      </c>
      <c r="E45" s="12">
        <f>((E39-E40)+SUM(E41:E44))*-1</f>
        <v>-162</v>
      </c>
      <c r="F45" s="12" t="s">
        <v>47</v>
      </c>
      <c r="G45" s="12"/>
      <c r="H45" s="12"/>
      <c r="I45" s="12"/>
      <c r="J45" s="12"/>
      <c r="K45" s="12"/>
      <c r="L45" s="12"/>
      <c r="M45" s="12"/>
      <c r="N45" s="13"/>
      <c r="O45" s="7"/>
      <c r="R45" s="1"/>
      <c r="V45" t="s">
        <v>18</v>
      </c>
      <c r="W45">
        <v>80</v>
      </c>
      <c r="X45">
        <v>2.4</v>
      </c>
      <c r="Y45">
        <v>2.4</v>
      </c>
      <c r="Z45">
        <v>-115</v>
      </c>
      <c r="AB45">
        <v>-117</v>
      </c>
      <c r="AC45">
        <f t="shared" si="0"/>
        <v>-2</v>
      </c>
    </row>
    <row r="46" spans="1:29" ht="15.75" thickBot="1" x14ac:dyDescent="0.3">
      <c r="A46" s="7"/>
      <c r="B46" s="11" t="s">
        <v>83</v>
      </c>
      <c r="C46" s="12"/>
      <c r="D46" s="14" t="s">
        <v>43</v>
      </c>
      <c r="E46" s="30">
        <v>6</v>
      </c>
      <c r="F46" s="12" t="s">
        <v>47</v>
      </c>
      <c r="G46" s="12"/>
      <c r="H46" s="12" t="s">
        <v>87</v>
      </c>
      <c r="I46" s="12"/>
      <c r="J46" s="12"/>
      <c r="K46" s="12"/>
      <c r="L46" s="12"/>
      <c r="M46" s="12"/>
      <c r="N46" s="13"/>
      <c r="O46" s="7"/>
      <c r="V46" t="s">
        <v>18</v>
      </c>
      <c r="W46">
        <v>80</v>
      </c>
      <c r="X46">
        <v>5</v>
      </c>
      <c r="Y46">
        <v>5</v>
      </c>
      <c r="Z46">
        <v>-112</v>
      </c>
    </row>
    <row r="47" spans="1:29" ht="15.75" thickBot="1" x14ac:dyDescent="0.3">
      <c r="A47" s="7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8"/>
      <c r="O47" s="7"/>
      <c r="V47" t="s">
        <v>18</v>
      </c>
      <c r="W47">
        <v>80</v>
      </c>
      <c r="X47">
        <v>10</v>
      </c>
      <c r="Y47">
        <v>10</v>
      </c>
      <c r="Z47">
        <v>-109</v>
      </c>
    </row>
    <row r="48" spans="1:29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V48" t="s">
        <v>18</v>
      </c>
      <c r="W48">
        <v>80</v>
      </c>
      <c r="X48">
        <v>20</v>
      </c>
      <c r="Y48">
        <v>20</v>
      </c>
      <c r="Z48">
        <v>-106.5</v>
      </c>
      <c r="AB48">
        <v>-108.5</v>
      </c>
      <c r="AC48">
        <f t="shared" si="0"/>
        <v>-2</v>
      </c>
    </row>
    <row r="49" spans="4:29" hidden="1" x14ac:dyDescent="0.25">
      <c r="V49" t="s">
        <v>18</v>
      </c>
      <c r="W49">
        <v>80</v>
      </c>
      <c r="X49">
        <v>1</v>
      </c>
      <c r="Y49">
        <v>20</v>
      </c>
      <c r="Z49">
        <v>-116</v>
      </c>
    </row>
    <row r="50" spans="4:29" hidden="1" x14ac:dyDescent="0.25">
      <c r="V50" t="s">
        <v>18</v>
      </c>
      <c r="W50">
        <v>165</v>
      </c>
      <c r="X50">
        <v>5</v>
      </c>
      <c r="Y50">
        <v>5</v>
      </c>
      <c r="Z50">
        <v>-112</v>
      </c>
      <c r="AB50">
        <v>-114</v>
      </c>
      <c r="AC50">
        <f t="shared" si="0"/>
        <v>-2</v>
      </c>
    </row>
    <row r="51" spans="4:29" hidden="1" x14ac:dyDescent="0.25">
      <c r="V51" t="s">
        <v>18</v>
      </c>
      <c r="W51">
        <v>165</v>
      </c>
      <c r="X51">
        <v>10</v>
      </c>
      <c r="Y51">
        <v>10</v>
      </c>
      <c r="Z51">
        <v>-109</v>
      </c>
    </row>
    <row r="52" spans="4:29" hidden="1" x14ac:dyDescent="0.25">
      <c r="V52" t="s">
        <v>18</v>
      </c>
      <c r="W52">
        <v>165</v>
      </c>
      <c r="X52">
        <v>20</v>
      </c>
      <c r="Y52">
        <v>20</v>
      </c>
      <c r="Z52">
        <v>-106.5</v>
      </c>
    </row>
    <row r="53" spans="4:29" hidden="1" x14ac:dyDescent="0.25">
      <c r="V53" t="s">
        <v>18</v>
      </c>
      <c r="W53">
        <v>165</v>
      </c>
      <c r="X53">
        <v>1</v>
      </c>
      <c r="Y53">
        <v>20</v>
      </c>
      <c r="Z53">
        <v>-112</v>
      </c>
    </row>
    <row r="54" spans="4:29" hidden="1" x14ac:dyDescent="0.25">
      <c r="V54" t="s">
        <v>18</v>
      </c>
      <c r="W54">
        <v>165</v>
      </c>
      <c r="X54">
        <v>1</v>
      </c>
      <c r="Y54">
        <v>16</v>
      </c>
      <c r="Z54">
        <v>-112.5</v>
      </c>
    </row>
    <row r="55" spans="4:29" hidden="1" x14ac:dyDescent="0.25">
      <c r="V55" t="s">
        <v>18</v>
      </c>
      <c r="W55">
        <v>165</v>
      </c>
      <c r="X55">
        <v>10</v>
      </c>
      <c r="Y55">
        <v>16</v>
      </c>
      <c r="Z55">
        <v>-107.5</v>
      </c>
    </row>
    <row r="56" spans="4:29" hidden="1" x14ac:dyDescent="0.25">
      <c r="V56" t="s">
        <v>18</v>
      </c>
      <c r="W56">
        <v>165</v>
      </c>
      <c r="X56">
        <v>40</v>
      </c>
      <c r="Y56">
        <v>40</v>
      </c>
      <c r="Z56">
        <v>-103.5</v>
      </c>
      <c r="AB56">
        <v>-105.5</v>
      </c>
      <c r="AC56">
        <f t="shared" si="0"/>
        <v>-2</v>
      </c>
    </row>
    <row r="57" spans="4:29" hidden="1" x14ac:dyDescent="0.25">
      <c r="D57" s="2"/>
      <c r="V57" t="s">
        <v>18</v>
      </c>
      <c r="W57">
        <v>366</v>
      </c>
      <c r="X57">
        <v>10</v>
      </c>
      <c r="Y57">
        <v>10</v>
      </c>
      <c r="Z57">
        <v>-108</v>
      </c>
    </row>
    <row r="58" spans="4:29" hidden="1" x14ac:dyDescent="0.25">
      <c r="V58" t="s">
        <v>18</v>
      </c>
      <c r="W58">
        <v>366</v>
      </c>
      <c r="X58">
        <v>20</v>
      </c>
      <c r="Y58">
        <v>20</v>
      </c>
      <c r="Z58">
        <v>-105.5</v>
      </c>
      <c r="AB58">
        <v>-107.5</v>
      </c>
      <c r="AC58">
        <f t="shared" si="0"/>
        <v>-2</v>
      </c>
    </row>
    <row r="59" spans="4:29" hidden="1" x14ac:dyDescent="0.25">
      <c r="V59" t="s">
        <v>18</v>
      </c>
      <c r="W59">
        <v>366</v>
      </c>
      <c r="X59">
        <v>1</v>
      </c>
      <c r="Y59">
        <v>20</v>
      </c>
      <c r="Z59">
        <v>-109</v>
      </c>
    </row>
    <row r="60" spans="4:29" hidden="1" x14ac:dyDescent="0.25">
      <c r="V60" t="s">
        <v>18</v>
      </c>
      <c r="W60">
        <v>366</v>
      </c>
      <c r="X60">
        <v>10</v>
      </c>
      <c r="Y60">
        <v>38</v>
      </c>
      <c r="Z60">
        <v>-105.5</v>
      </c>
    </row>
    <row r="61" spans="4:29" hidden="1" x14ac:dyDescent="0.25">
      <c r="V61" t="s">
        <v>18</v>
      </c>
      <c r="W61">
        <v>366</v>
      </c>
      <c r="X61">
        <v>40</v>
      </c>
      <c r="Y61">
        <v>40</v>
      </c>
      <c r="Z61">
        <v>-102.5</v>
      </c>
    </row>
    <row r="62" spans="4:29" hidden="1" x14ac:dyDescent="0.25">
      <c r="V62" t="s">
        <v>18</v>
      </c>
      <c r="W62">
        <v>366</v>
      </c>
      <c r="X62">
        <v>80</v>
      </c>
      <c r="Y62">
        <v>80</v>
      </c>
      <c r="Z62">
        <v>-100.5</v>
      </c>
      <c r="AB62">
        <v>-100.5</v>
      </c>
      <c r="AC62">
        <f t="shared" si="0"/>
        <v>0</v>
      </c>
    </row>
    <row r="63" spans="4:29" hidden="1" x14ac:dyDescent="0.25">
      <c r="V63" t="s">
        <v>13</v>
      </c>
      <c r="W63">
        <v>25</v>
      </c>
      <c r="X63">
        <v>0.5</v>
      </c>
      <c r="Z63">
        <v>-123</v>
      </c>
      <c r="AB63">
        <v>-125</v>
      </c>
      <c r="AC63">
        <f t="shared" si="0"/>
        <v>-2</v>
      </c>
    </row>
    <row r="64" spans="4:29" hidden="1" x14ac:dyDescent="0.25">
      <c r="V64" t="s">
        <v>13</v>
      </c>
      <c r="W64">
        <v>25</v>
      </c>
      <c r="X64">
        <v>1</v>
      </c>
      <c r="Z64">
        <v>-121</v>
      </c>
    </row>
    <row r="65" spans="22:29" hidden="1" x14ac:dyDescent="0.25">
      <c r="V65" t="s">
        <v>13</v>
      </c>
      <c r="W65">
        <v>25</v>
      </c>
      <c r="X65">
        <v>2.4</v>
      </c>
      <c r="Z65">
        <v>-118.5</v>
      </c>
    </row>
    <row r="66" spans="22:29" hidden="1" x14ac:dyDescent="0.25">
      <c r="V66" t="s">
        <v>13</v>
      </c>
      <c r="W66">
        <v>25</v>
      </c>
      <c r="X66">
        <v>5</v>
      </c>
      <c r="Z66">
        <v>-116.5</v>
      </c>
      <c r="AB66">
        <v>-117.5</v>
      </c>
      <c r="AC66">
        <f t="shared" si="0"/>
        <v>-1</v>
      </c>
    </row>
    <row r="67" spans="22:29" hidden="1" x14ac:dyDescent="0.25">
      <c r="V67" t="s">
        <v>13</v>
      </c>
      <c r="W67">
        <v>80</v>
      </c>
      <c r="X67">
        <v>1</v>
      </c>
      <c r="Z67">
        <v>-119.5</v>
      </c>
      <c r="AB67">
        <v>-121.5</v>
      </c>
      <c r="AC67">
        <f t="shared" si="0"/>
        <v>-2</v>
      </c>
    </row>
    <row r="68" spans="22:29" hidden="1" x14ac:dyDescent="0.25">
      <c r="V68" t="s">
        <v>13</v>
      </c>
      <c r="W68">
        <v>80</v>
      </c>
      <c r="X68">
        <v>2.4</v>
      </c>
      <c r="Z68">
        <v>-117</v>
      </c>
    </row>
    <row r="69" spans="22:29" hidden="1" x14ac:dyDescent="0.25">
      <c r="V69" t="s">
        <v>13</v>
      </c>
      <c r="W69">
        <v>80</v>
      </c>
      <c r="X69">
        <v>10</v>
      </c>
      <c r="Z69">
        <v>-112.5</v>
      </c>
    </row>
    <row r="70" spans="22:29" hidden="1" x14ac:dyDescent="0.25">
      <c r="V70" t="s">
        <v>13</v>
      </c>
      <c r="W70">
        <v>80</v>
      </c>
      <c r="X70">
        <v>20</v>
      </c>
      <c r="Z70">
        <v>-110</v>
      </c>
      <c r="AB70">
        <v>-110.5</v>
      </c>
      <c r="AC70">
        <f t="shared" si="0"/>
        <v>-0.5</v>
      </c>
    </row>
    <row r="71" spans="22:29" hidden="1" x14ac:dyDescent="0.25">
      <c r="V71" t="s">
        <v>13</v>
      </c>
      <c r="W71">
        <v>165</v>
      </c>
      <c r="X71">
        <v>1</v>
      </c>
      <c r="Z71">
        <v>-118.5</v>
      </c>
      <c r="AB71">
        <v>-120.5</v>
      </c>
      <c r="AC71">
        <f t="shared" si="0"/>
        <v>-2</v>
      </c>
    </row>
    <row r="72" spans="22:29" hidden="1" x14ac:dyDescent="0.25">
      <c r="V72" t="s">
        <v>13</v>
      </c>
      <c r="W72">
        <v>165</v>
      </c>
      <c r="X72">
        <v>2.4</v>
      </c>
      <c r="Z72">
        <v>-116</v>
      </c>
    </row>
    <row r="73" spans="22:29" hidden="1" x14ac:dyDescent="0.25">
      <c r="V73" t="s">
        <v>13</v>
      </c>
      <c r="W73">
        <v>165</v>
      </c>
      <c r="X73">
        <v>10</v>
      </c>
      <c r="Z73">
        <v>-111</v>
      </c>
    </row>
    <row r="74" spans="22:29" hidden="1" x14ac:dyDescent="0.25">
      <c r="V74" t="s">
        <v>13</v>
      </c>
      <c r="W74">
        <v>165</v>
      </c>
      <c r="X74">
        <v>20</v>
      </c>
      <c r="Z74">
        <v>-109</v>
      </c>
    </row>
    <row r="75" spans="22:29" hidden="1" x14ac:dyDescent="0.25">
      <c r="V75" t="s">
        <v>13</v>
      </c>
      <c r="W75">
        <v>165</v>
      </c>
      <c r="X75">
        <v>40</v>
      </c>
      <c r="Z75">
        <v>-106.5</v>
      </c>
      <c r="AB75">
        <v>-107.5</v>
      </c>
      <c r="AC75">
        <f t="shared" si="0"/>
        <v>-1</v>
      </c>
    </row>
    <row r="76" spans="22:29" hidden="1" x14ac:dyDescent="0.25">
      <c r="V76" t="s">
        <v>13</v>
      </c>
      <c r="W76">
        <v>366</v>
      </c>
      <c r="X76">
        <v>1</v>
      </c>
      <c r="Z76">
        <v>-117</v>
      </c>
      <c r="AB76">
        <v>-118.5</v>
      </c>
      <c r="AC76">
        <f t="shared" si="0"/>
        <v>-1.5</v>
      </c>
    </row>
    <row r="77" spans="22:29" hidden="1" x14ac:dyDescent="0.25">
      <c r="V77" t="s">
        <v>13</v>
      </c>
      <c r="W77">
        <v>366</v>
      </c>
      <c r="X77">
        <v>2.4</v>
      </c>
      <c r="Z77">
        <v>-114.5</v>
      </c>
    </row>
    <row r="78" spans="22:29" hidden="1" x14ac:dyDescent="0.25">
      <c r="V78" t="s">
        <v>13</v>
      </c>
      <c r="W78">
        <v>366</v>
      </c>
      <c r="X78">
        <v>10</v>
      </c>
      <c r="Z78">
        <v>-110</v>
      </c>
    </row>
    <row r="79" spans="22:29" hidden="1" x14ac:dyDescent="0.25">
      <c r="V79" t="s">
        <v>13</v>
      </c>
      <c r="W79">
        <v>366</v>
      </c>
      <c r="X79">
        <v>20</v>
      </c>
      <c r="Z79">
        <v>-107.5</v>
      </c>
    </row>
    <row r="80" spans="22:29" hidden="1" x14ac:dyDescent="0.25">
      <c r="V80" t="s">
        <v>13</v>
      </c>
      <c r="W80">
        <v>366</v>
      </c>
      <c r="X80">
        <v>40</v>
      </c>
      <c r="Z80">
        <v>-105</v>
      </c>
    </row>
    <row r="81" spans="22:29" hidden="1" x14ac:dyDescent="0.25">
      <c r="V81" t="s">
        <v>13</v>
      </c>
      <c r="W81">
        <v>366</v>
      </c>
      <c r="X81">
        <v>80</v>
      </c>
      <c r="Z81">
        <v>-103</v>
      </c>
      <c r="AB81">
        <v>-103.5</v>
      </c>
      <c r="AC81">
        <f t="shared" si="0"/>
        <v>-0.5</v>
      </c>
    </row>
  </sheetData>
  <mergeCells count="1">
    <mergeCell ref="B2:G2"/>
  </mergeCells>
  <dataValidations count="2">
    <dataValidation type="list" allowBlank="1" showInputMessage="1" showErrorMessage="1" sqref="D6" xr:uid="{A15103D3-EE43-462E-87CB-FE0D5B5A9AB0}">
      <formula1>"ATA5830, ATA5831, ATA5832, ATA5833, ATA5780, ATA5781, ATA5782, ATA5783, ATA5785, ATA8510, ATA8515, ATA8210, ATA8215"</formula1>
    </dataValidation>
    <dataValidation type="list" allowBlank="1" showInputMessage="1" showErrorMessage="1" sqref="D16" xr:uid="{AE69D81B-418E-4B3F-82FC-B17B916C3EF1}">
      <formula1>"ASK, FSK"</formula1>
    </dataValidation>
  </dataValidations>
  <pageMargins left="0.25" right="0.25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RF_cheet_sheet</vt:lpstr>
      <vt:lpstr>GHH</vt:lpstr>
      <vt:lpstr>ZHH1</vt:lpstr>
    </vt:vector>
  </TitlesOfParts>
  <Company>Atmel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2021-01-12T15:27:48Z</cp:lastPrinted>
  <dcterms:created xsi:type="dcterms:W3CDTF">2014-09-30T12:35:28Z</dcterms:created>
  <dcterms:modified xsi:type="dcterms:W3CDTF">2026-04-21T04:18:07Z</dcterms:modified>
</cp:coreProperties>
</file>